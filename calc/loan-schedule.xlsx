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How it work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Amount borrowed. Source: Small Business Loan default.</t>
        </r>
      </text>
    </comment>
    <comment ref="B4" authorId="0">
      <text>
        <r>
          <rPr>
            <sz val="10"/>
            <rFont val="Arial"/>
            <family val="2"/>
          </rPr>
          <t xml:space="preserve">Loan term. The sheet supports 1 to 36 months.</t>
        </r>
      </text>
    </comment>
    <comment ref="B5" authorId="0">
      <text>
        <r>
          <rPr>
            <sz val="10"/>
            <rFont val="Arial"/>
            <family val="2"/>
          </rPr>
          <t xml:space="preserve">Nominal yearly rate. Source: Small Business Loan product.</t>
        </r>
      </text>
    </comment>
    <comment ref="B49" authorId="0">
      <text>
        <r>
          <rPr>
            <sz val="10"/>
            <rFont val="Arial"/>
            <family val="2"/>
          </rPr>
          <t xml:space="preserve">Source: Fineract calculateLoanSchedule response (totalInterestCharged), Small Business Loan, Oct 2026.</t>
        </r>
      </text>
    </comment>
  </commentList>
</comments>
</file>

<file path=xl/sharedStrings.xml><?xml version="1.0" encoding="utf-8"?>
<sst xmlns="http://schemas.openxmlformats.org/spreadsheetml/2006/main" count="40" uniqueCount="40">
  <si>
    <t xml:space="preserve">Adey MFI - Loan Repayment Schedule (declining balance, equal installments)</t>
  </si>
  <si>
    <t xml:space="preserve">Principal (ETB)</t>
  </si>
  <si>
    <t xml:space="preserve">Yellow cells are inputs you can change. Everything else is calculated.</t>
  </si>
  <si>
    <t xml:space="preserve">Number of months</t>
  </si>
  <si>
    <t xml:space="preserve">Annual interest rate</t>
  </si>
  <si>
    <t xml:space="preserve">Monthly interest rate</t>
  </si>
  <si>
    <t xml:space="preserve">Fixed monthly installment</t>
  </si>
  <si>
    <t xml:space="preserve">Period</t>
  </si>
  <si>
    <t xml:space="preserve">Opening balance</t>
  </si>
  <si>
    <t xml:space="preserve">Interest</t>
  </si>
  <si>
    <t xml:space="preserve">Principal</t>
  </si>
  <si>
    <t xml:space="preserve">Installment</t>
  </si>
  <si>
    <t xml:space="preserve">Closing balance</t>
  </si>
  <si>
    <t xml:space="preserve">Total</t>
  </si>
  <si>
    <t xml:space="preserve">Check against Fineract (only valid for 20,000 / 12 months / 18%)</t>
  </si>
  <si>
    <t xml:space="preserve">Fineract total interest</t>
  </si>
  <si>
    <t xml:space="preserve">Spreadsheet total interest</t>
  </si>
  <si>
    <t xml:space="preserve">Difference (should be 0)</t>
  </si>
  <si>
    <t xml:space="preserve">How this schedule works</t>
  </si>
  <si>
    <t xml:space="preserve">1. The loan</t>
  </si>
  <si>
    <t xml:space="preserve">The borrower receives the principal (20,000 ETB) and repays it in equal monthly installments that include interest.</t>
  </si>
  <si>
    <t xml:space="preserve">2. The interest rate</t>
  </si>
  <si>
    <t xml:space="preserve">18% is a yearly rate. Payments are monthly, so the monthly rate is 18% / 12 = 1.5%.</t>
  </si>
  <si>
    <t xml:space="preserve">3. The installment (cell B7)</t>
  </si>
  <si>
    <t xml:space="preserve">PMT finds the one fixed payment that clears the whole loan, with interest, in exactly 12 payments: 1,833.60.</t>
  </si>
  <si>
    <t xml:space="preserve">4. Each month (each row)</t>
  </si>
  <si>
    <t xml:space="preserve">Interest = what is still owed x 1.5%.  Month 1: 20,000 x 1.5% = 300.00</t>
  </si>
  <si>
    <t xml:space="preserve">Principal = installment - interest.  Month 1: 1,833.60 - 300.00 = 1,533.60. This is the part that reduces the debt.</t>
  </si>
  <si>
    <t xml:space="preserve">Closing balance = opening balance - principal.  Month 1: 20,000 - 1,533.60 = 18,466.40</t>
  </si>
  <si>
    <t xml:space="preserve">Next month starts from that smaller balance.</t>
  </si>
  <si>
    <t xml:space="preserve">5. Why interest shrinks</t>
  </si>
  <si>
    <t xml:space="preserve">The balance falls every month, so 1.5% of it is a smaller number. The installment stays fixed,</t>
  </si>
  <si>
    <t xml:space="preserve">so more of each payment goes to principal over time. This is called amortization.</t>
  </si>
  <si>
    <t xml:space="preserve">6. Rounding and the last month</t>
  </si>
  <si>
    <t xml:space="preserve">Interest is rounded to cents each month, as Fineract does. That leaves a tiny leftover,</t>
  </si>
  <si>
    <t xml:space="preserve">so the last installment pays exactly what remains: 1,833.61 instead of 1,833.60.</t>
  </si>
  <si>
    <t xml:space="preserve">7. Experiments (change the yellow cells on the Schedule sheet)</t>
  </si>
  <si>
    <t xml:space="preserve">a) Principal 40,000: does everything double?</t>
  </si>
  <si>
    <t xml:space="preserve">b) Rate 30%: how much more total interest?</t>
  </si>
  <si>
    <t xml:space="preserve">c) Months 24: the installment drops, but what happens to total interest, and why?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</si>
</sst>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(#,##0.00\);\-"/>
    <numFmt numFmtId="166" formatCode="0"/>
    <numFmt numFmtId="167" formatCode="0.00%"/>
    <numFmt numFmtId="168" formatCode="0.0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7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v>20000</v>
      </c>
      <c r="D3" s="4" t="s">
        <v>2</v>
      </c>
    </row>
    <row r="4" customFormat="false" ht="15" hidden="false" customHeight="false" outlineLevel="0" collapsed="false">
      <c r="A4" s="2" t="s">
        <v>3</v>
      </c>
      <c r="B4" s="5" t="n">
        <v>12</v>
      </c>
    </row>
    <row r="5" customFormat="false" ht="15" hidden="false" customHeight="false" outlineLevel="0" collapsed="false">
      <c r="A5" s="2" t="s">
        <v>4</v>
      </c>
      <c r="B5" s="6" t="n">
        <v>0.18</v>
      </c>
    </row>
    <row r="6" customFormat="false" ht="15" hidden="false" customHeight="false" outlineLevel="0" collapsed="false">
      <c r="A6" s="2" t="s">
        <v>5</v>
      </c>
      <c r="B6" s="7" t="n">
        <f aca="false">B5/12</f>
        <v>0.015</v>
      </c>
    </row>
    <row r="7" customFormat="false" ht="15" hidden="false" customHeight="false" outlineLevel="0" collapsed="false">
      <c r="A7" s="8" t="s">
        <v>6</v>
      </c>
      <c r="B7" s="9" t="n">
        <f aca="false">ROUND(PMT(B6,B4,-B3),2)</f>
        <v>1833.6</v>
      </c>
    </row>
    <row r="9" customFormat="false" ht="26.85" hidden="false" customHeight="false" outlineLevel="0" collapsed="false">
      <c r="A9" s="10" t="s">
        <v>7</v>
      </c>
      <c r="B9" s="10" t="s">
        <v>8</v>
      </c>
      <c r="C9" s="10" t="s">
        <v>9</v>
      </c>
      <c r="D9" s="10" t="s">
        <v>10</v>
      </c>
      <c r="E9" s="10" t="s">
        <v>11</v>
      </c>
      <c r="F9" s="10" t="s">
        <v>12</v>
      </c>
    </row>
    <row r="10" customFormat="false" ht="15" hidden="false" customHeight="false" outlineLevel="0" collapsed="false">
      <c r="A10" s="11" t="n">
        <f aca="false">IF($B$4&gt;=1,1,"")</f>
        <v>1</v>
      </c>
      <c r="B10" s="12" t="n">
        <f aca="false">IF(A10="","",$B$3)</f>
        <v>20000</v>
      </c>
      <c r="C10" s="12" t="n">
        <f aca="false">IF(A10="","",ROUND(B10*$B$6,2))</f>
        <v>300</v>
      </c>
      <c r="D10" s="12" t="n">
        <f aca="false">IF(A10="","",IF(A10=$B$4,B10,E10-C10))</f>
        <v>1533.6</v>
      </c>
      <c r="E10" s="12" t="n">
        <f aca="false">IF(A10="","",IF(A10=$B$4,B10+C10,$B$7))</f>
        <v>1833.6</v>
      </c>
      <c r="F10" s="12" t="n">
        <f aca="false">IF(A10="","",B10-D10)</f>
        <v>18466.4</v>
      </c>
    </row>
    <row r="11" customFormat="false" ht="15" hidden="false" customHeight="false" outlineLevel="0" collapsed="false">
      <c r="A11" s="13" t="n">
        <f aca="false">IF(A10="","",IF(A10&lt;$B$4,A10+1,""))</f>
        <v>2</v>
      </c>
      <c r="B11" s="14" t="n">
        <f aca="false">IF(A11="","",F10)</f>
        <v>18466.4</v>
      </c>
      <c r="C11" s="14" t="n">
        <f aca="false">IF(A11="","",ROUND(B11*$B$6,2))</f>
        <v>277</v>
      </c>
      <c r="D11" s="14" t="n">
        <f aca="false">IF(A11="","",IF(A11=$B$4,B11,E11-C11))</f>
        <v>1556.6</v>
      </c>
      <c r="E11" s="14" t="n">
        <f aca="false">IF(A11="","",IF(A11=$B$4,B11+C11,$B$7))</f>
        <v>1833.6</v>
      </c>
      <c r="F11" s="14" t="n">
        <f aca="false">IF(A11="","",B11-D11)</f>
        <v>16909.8</v>
      </c>
    </row>
    <row r="12" customFormat="false" ht="15" hidden="false" customHeight="false" outlineLevel="0" collapsed="false">
      <c r="A12" s="11" t="n">
        <f aca="false">IF(A11="","",IF(A11&lt;$B$4,A11+1,""))</f>
        <v>3</v>
      </c>
      <c r="B12" s="12" t="n">
        <f aca="false">IF(A12="","",F11)</f>
        <v>16909.8</v>
      </c>
      <c r="C12" s="12" t="n">
        <f aca="false">IF(A12="","",ROUND(B12*$B$6,2))</f>
        <v>253.65</v>
      </c>
      <c r="D12" s="12" t="n">
        <f aca="false">IF(A12="","",IF(A12=$B$4,B12,E12-C12))</f>
        <v>1579.95</v>
      </c>
      <c r="E12" s="12" t="n">
        <f aca="false">IF(A12="","",IF(A12=$B$4,B12+C12,$B$7))</f>
        <v>1833.6</v>
      </c>
      <c r="F12" s="12" t="n">
        <f aca="false">IF(A12="","",B12-D12)</f>
        <v>15329.85</v>
      </c>
    </row>
    <row r="13" customFormat="false" ht="15" hidden="false" customHeight="false" outlineLevel="0" collapsed="false">
      <c r="A13" s="13" t="n">
        <f aca="false">IF(A12="","",IF(A12&lt;$B$4,A12+1,""))</f>
        <v>4</v>
      </c>
      <c r="B13" s="14" t="n">
        <f aca="false">IF(A13="","",F12)</f>
        <v>15329.85</v>
      </c>
      <c r="C13" s="14" t="n">
        <f aca="false">IF(A13="","",ROUND(B13*$B$6,2))</f>
        <v>229.95</v>
      </c>
      <c r="D13" s="14" t="n">
        <f aca="false">IF(A13="","",IF(A13=$B$4,B13,E13-C13))</f>
        <v>1603.65</v>
      </c>
      <c r="E13" s="14" t="n">
        <f aca="false">IF(A13="","",IF(A13=$B$4,B13+C13,$B$7))</f>
        <v>1833.6</v>
      </c>
      <c r="F13" s="14" t="n">
        <f aca="false">IF(A13="","",B13-D13)</f>
        <v>13726.2</v>
      </c>
    </row>
    <row r="14" customFormat="false" ht="15" hidden="false" customHeight="false" outlineLevel="0" collapsed="false">
      <c r="A14" s="11" t="n">
        <f aca="false">IF(A13="","",IF(A13&lt;$B$4,A13+1,""))</f>
        <v>5</v>
      </c>
      <c r="B14" s="12" t="n">
        <f aca="false">IF(A14="","",F13)</f>
        <v>13726.2</v>
      </c>
      <c r="C14" s="12" t="n">
        <f aca="false">IF(A14="","",ROUND(B14*$B$6,2))</f>
        <v>205.89</v>
      </c>
      <c r="D14" s="12" t="n">
        <f aca="false">IF(A14="","",IF(A14=$B$4,B14,E14-C14))</f>
        <v>1627.71</v>
      </c>
      <c r="E14" s="12" t="n">
        <f aca="false">IF(A14="","",IF(A14=$B$4,B14+C14,$B$7))</f>
        <v>1833.6</v>
      </c>
      <c r="F14" s="12" t="n">
        <f aca="false">IF(A14="","",B14-D14)</f>
        <v>12098.49</v>
      </c>
    </row>
    <row r="15" customFormat="false" ht="15" hidden="false" customHeight="false" outlineLevel="0" collapsed="false">
      <c r="A15" s="13" t="n">
        <f aca="false">IF(A14="","",IF(A14&lt;$B$4,A14+1,""))</f>
        <v>6</v>
      </c>
      <c r="B15" s="14" t="n">
        <f aca="false">IF(A15="","",F14)</f>
        <v>12098.49</v>
      </c>
      <c r="C15" s="14" t="n">
        <f aca="false">IF(A15="","",ROUND(B15*$B$6,2))</f>
        <v>181.48</v>
      </c>
      <c r="D15" s="14" t="n">
        <f aca="false">IF(A15="","",IF(A15=$B$4,B15,E15-C15))</f>
        <v>1652.12</v>
      </c>
      <c r="E15" s="14" t="n">
        <f aca="false">IF(A15="","",IF(A15=$B$4,B15+C15,$B$7))</f>
        <v>1833.6</v>
      </c>
      <c r="F15" s="14" t="n">
        <f aca="false">IF(A15="","",B15-D15)</f>
        <v>10446.37</v>
      </c>
    </row>
    <row r="16" customFormat="false" ht="15" hidden="false" customHeight="false" outlineLevel="0" collapsed="false">
      <c r="A16" s="11" t="n">
        <f aca="false">IF(A15="","",IF(A15&lt;$B$4,A15+1,""))</f>
        <v>7</v>
      </c>
      <c r="B16" s="12" t="n">
        <f aca="false">IF(A16="","",F15)</f>
        <v>10446.37</v>
      </c>
      <c r="C16" s="12" t="n">
        <f aca="false">IF(A16="","",ROUND(B16*$B$6,2))</f>
        <v>156.7</v>
      </c>
      <c r="D16" s="12" t="n">
        <f aca="false">IF(A16="","",IF(A16=$B$4,B16,E16-C16))</f>
        <v>1676.9</v>
      </c>
      <c r="E16" s="12" t="n">
        <f aca="false">IF(A16="","",IF(A16=$B$4,B16+C16,$B$7))</f>
        <v>1833.6</v>
      </c>
      <c r="F16" s="12" t="n">
        <f aca="false">IF(A16="","",B16-D16)</f>
        <v>8769.47</v>
      </c>
    </row>
    <row r="17" customFormat="false" ht="15" hidden="false" customHeight="false" outlineLevel="0" collapsed="false">
      <c r="A17" s="13" t="n">
        <f aca="false">IF(A16="","",IF(A16&lt;$B$4,A16+1,""))</f>
        <v>8</v>
      </c>
      <c r="B17" s="14" t="n">
        <f aca="false">IF(A17="","",F16)</f>
        <v>8769.47</v>
      </c>
      <c r="C17" s="14" t="n">
        <f aca="false">IF(A17="","",ROUND(B17*$B$6,2))</f>
        <v>131.54</v>
      </c>
      <c r="D17" s="14" t="n">
        <f aca="false">IF(A17="","",IF(A17=$B$4,B17,E17-C17))</f>
        <v>1702.06</v>
      </c>
      <c r="E17" s="14" t="n">
        <f aca="false">IF(A17="","",IF(A17=$B$4,B17+C17,$B$7))</f>
        <v>1833.6</v>
      </c>
      <c r="F17" s="14" t="n">
        <f aca="false">IF(A17="","",B17-D17)</f>
        <v>7067.41</v>
      </c>
    </row>
    <row r="18" customFormat="false" ht="15" hidden="false" customHeight="false" outlineLevel="0" collapsed="false">
      <c r="A18" s="11" t="n">
        <f aca="false">IF(A17="","",IF(A17&lt;$B$4,A17+1,""))</f>
        <v>9</v>
      </c>
      <c r="B18" s="12" t="n">
        <f aca="false">IF(A18="","",F17)</f>
        <v>7067.41</v>
      </c>
      <c r="C18" s="12" t="n">
        <f aca="false">IF(A18="","",ROUND(B18*$B$6,2))</f>
        <v>106.01</v>
      </c>
      <c r="D18" s="12" t="n">
        <f aca="false">IF(A18="","",IF(A18=$B$4,B18,E18-C18))</f>
        <v>1727.59</v>
      </c>
      <c r="E18" s="12" t="n">
        <f aca="false">IF(A18="","",IF(A18=$B$4,B18+C18,$B$7))</f>
        <v>1833.6</v>
      </c>
      <c r="F18" s="12" t="n">
        <f aca="false">IF(A18="","",B18-D18)</f>
        <v>5339.82</v>
      </c>
    </row>
    <row r="19" customFormat="false" ht="15" hidden="false" customHeight="false" outlineLevel="0" collapsed="false">
      <c r="A19" s="13" t="n">
        <f aca="false">IF(A18="","",IF(A18&lt;$B$4,A18+1,""))</f>
        <v>10</v>
      </c>
      <c r="B19" s="14" t="n">
        <f aca="false">IF(A19="","",F18)</f>
        <v>5339.82</v>
      </c>
      <c r="C19" s="14" t="n">
        <f aca="false">IF(A19="","",ROUND(B19*$B$6,2))</f>
        <v>80.1</v>
      </c>
      <c r="D19" s="14" t="n">
        <f aca="false">IF(A19="","",IF(A19=$B$4,B19,E19-C19))</f>
        <v>1753.5</v>
      </c>
      <c r="E19" s="14" t="n">
        <f aca="false">IF(A19="","",IF(A19=$B$4,B19+C19,$B$7))</f>
        <v>1833.6</v>
      </c>
      <c r="F19" s="14" t="n">
        <f aca="false">IF(A19="","",B19-D19)</f>
        <v>3586.32</v>
      </c>
    </row>
    <row r="20" customFormat="false" ht="15" hidden="false" customHeight="false" outlineLevel="0" collapsed="false">
      <c r="A20" s="11" t="n">
        <f aca="false">IF(A19="","",IF(A19&lt;$B$4,A19+1,""))</f>
        <v>11</v>
      </c>
      <c r="B20" s="12" t="n">
        <f aca="false">IF(A20="","",F19)</f>
        <v>3586.32</v>
      </c>
      <c r="C20" s="12" t="n">
        <f aca="false">IF(A20="","",ROUND(B20*$B$6,2))</f>
        <v>53.79</v>
      </c>
      <c r="D20" s="12" t="n">
        <f aca="false">IF(A20="","",IF(A20=$B$4,B20,E20-C20))</f>
        <v>1779.81</v>
      </c>
      <c r="E20" s="12" t="n">
        <f aca="false">IF(A20="","",IF(A20=$B$4,B20+C20,$B$7))</f>
        <v>1833.6</v>
      </c>
      <c r="F20" s="12" t="n">
        <f aca="false">IF(A20="","",B20-D20)</f>
        <v>1806.51</v>
      </c>
    </row>
    <row r="21" customFormat="false" ht="15" hidden="false" customHeight="false" outlineLevel="0" collapsed="false">
      <c r="A21" s="13" t="n">
        <f aca="false">IF(A20="","",IF(A20&lt;$B$4,A20+1,""))</f>
        <v>12</v>
      </c>
      <c r="B21" s="14" t="n">
        <f aca="false">IF(A21="","",F20)</f>
        <v>1806.51</v>
      </c>
      <c r="C21" s="14" t="n">
        <f aca="false">IF(A21="","",ROUND(B21*$B$6,2))</f>
        <v>27.1</v>
      </c>
      <c r="D21" s="14" t="n">
        <f aca="false">IF(A21="","",IF(A21=$B$4,B21,E21-C21))</f>
        <v>1806.51</v>
      </c>
      <c r="E21" s="14" t="n">
        <f aca="false">IF(A21="","",IF(A21=$B$4,B21+C21,$B$7))</f>
        <v>1833.61</v>
      </c>
      <c r="F21" s="14" t="n">
        <f aca="false">IF(A21="","",B21-D21)</f>
        <v>0</v>
      </c>
    </row>
    <row r="22" customFormat="false" ht="15" hidden="false" customHeight="false" outlineLevel="0" collapsed="false">
      <c r="A22" s="11" t="str">
        <f aca="false">IF(A21="","",IF(A21&lt;$B$4,A21+1,""))</f>
        <v/>
      </c>
      <c r="B22" s="12" t="str">
        <f aca="false">IF(A22="","",F21)</f>
        <v/>
      </c>
      <c r="C22" s="12" t="str">
        <f aca="false">IF(A22="","",ROUND(B22*$B$6,2))</f>
        <v/>
      </c>
      <c r="D22" s="12" t="str">
        <f aca="false">IF(A22="","",IF(A22=$B$4,B22,E22-C22))</f>
        <v/>
      </c>
      <c r="E22" s="12" t="str">
        <f aca="false">IF(A22="","",IF(A22=$B$4,B22+C22,$B$7))</f>
        <v/>
      </c>
      <c r="F22" s="12" t="str">
        <f aca="false">IF(A22="","",B22-D22)</f>
        <v/>
      </c>
    </row>
    <row r="23" customFormat="false" ht="15" hidden="false" customHeight="false" outlineLevel="0" collapsed="false">
      <c r="A23" s="13" t="str">
        <f aca="false">IF(A22="","",IF(A22&lt;$B$4,A22+1,""))</f>
        <v/>
      </c>
      <c r="B23" s="14" t="str">
        <f aca="false">IF(A23="","",F22)</f>
        <v/>
      </c>
      <c r="C23" s="14" t="str">
        <f aca="false">IF(A23="","",ROUND(B23*$B$6,2))</f>
        <v/>
      </c>
      <c r="D23" s="14" t="str">
        <f aca="false">IF(A23="","",IF(A23=$B$4,B23,E23-C23))</f>
        <v/>
      </c>
      <c r="E23" s="14" t="str">
        <f aca="false">IF(A23="","",IF(A23=$B$4,B23+C23,$B$7))</f>
        <v/>
      </c>
      <c r="F23" s="14" t="str">
        <f aca="false">IF(A23="","",B23-D23)</f>
        <v/>
      </c>
    </row>
    <row r="24" customFormat="false" ht="15" hidden="false" customHeight="false" outlineLevel="0" collapsed="false">
      <c r="A24" s="11" t="str">
        <f aca="false">IF(A23="","",IF(A23&lt;$B$4,A23+1,""))</f>
        <v/>
      </c>
      <c r="B24" s="12" t="str">
        <f aca="false">IF(A24="","",F23)</f>
        <v/>
      </c>
      <c r="C24" s="12" t="str">
        <f aca="false">IF(A24="","",ROUND(B24*$B$6,2))</f>
        <v/>
      </c>
      <c r="D24" s="12" t="str">
        <f aca="false">IF(A24="","",IF(A24=$B$4,B24,E24-C24))</f>
        <v/>
      </c>
      <c r="E24" s="12" t="str">
        <f aca="false">IF(A24="","",IF(A24=$B$4,B24+C24,$B$7))</f>
        <v/>
      </c>
      <c r="F24" s="12" t="str">
        <f aca="false">IF(A24="","",B24-D24)</f>
        <v/>
      </c>
    </row>
    <row r="25" customFormat="false" ht="15" hidden="false" customHeight="false" outlineLevel="0" collapsed="false">
      <c r="A25" s="13" t="str">
        <f aca="false">IF(A24="","",IF(A24&lt;$B$4,A24+1,""))</f>
        <v/>
      </c>
      <c r="B25" s="14" t="str">
        <f aca="false">IF(A25="","",F24)</f>
        <v/>
      </c>
      <c r="C25" s="14" t="str">
        <f aca="false">IF(A25="","",ROUND(B25*$B$6,2))</f>
        <v/>
      </c>
      <c r="D25" s="14" t="str">
        <f aca="false">IF(A25="","",IF(A25=$B$4,B25,E25-C25))</f>
        <v/>
      </c>
      <c r="E25" s="14" t="str">
        <f aca="false">IF(A25="","",IF(A25=$B$4,B25+C25,$B$7))</f>
        <v/>
      </c>
      <c r="F25" s="14" t="str">
        <f aca="false">IF(A25="","",B25-D25)</f>
        <v/>
      </c>
    </row>
    <row r="26" customFormat="false" ht="15" hidden="false" customHeight="false" outlineLevel="0" collapsed="false">
      <c r="A26" s="11" t="str">
        <f aca="false">IF(A25="","",IF(A25&lt;$B$4,A25+1,""))</f>
        <v/>
      </c>
      <c r="B26" s="12" t="str">
        <f aca="false">IF(A26="","",F25)</f>
        <v/>
      </c>
      <c r="C26" s="12" t="str">
        <f aca="false">IF(A26="","",ROUND(B26*$B$6,2))</f>
        <v/>
      </c>
      <c r="D26" s="12" t="str">
        <f aca="false">IF(A26="","",IF(A26=$B$4,B26,E26-C26))</f>
        <v/>
      </c>
      <c r="E26" s="12" t="str">
        <f aca="false">IF(A26="","",IF(A26=$B$4,B26+C26,$B$7))</f>
        <v/>
      </c>
      <c r="F26" s="12" t="str">
        <f aca="false">IF(A26="","",B26-D26)</f>
        <v/>
      </c>
    </row>
    <row r="27" customFormat="false" ht="15" hidden="false" customHeight="false" outlineLevel="0" collapsed="false">
      <c r="A27" s="13" t="str">
        <f aca="false">IF(A26="","",IF(A26&lt;$B$4,A26+1,""))</f>
        <v/>
      </c>
      <c r="B27" s="14" t="str">
        <f aca="false">IF(A27="","",F26)</f>
        <v/>
      </c>
      <c r="C27" s="14" t="str">
        <f aca="false">IF(A27="","",ROUND(B27*$B$6,2))</f>
        <v/>
      </c>
      <c r="D27" s="14" t="str">
        <f aca="false">IF(A27="","",IF(A27=$B$4,B27,E27-C27))</f>
        <v/>
      </c>
      <c r="E27" s="14" t="str">
        <f aca="false">IF(A27="","",IF(A27=$B$4,B27+C27,$B$7))</f>
        <v/>
      </c>
      <c r="F27" s="14" t="str">
        <f aca="false">IF(A27="","",B27-D27)</f>
        <v/>
      </c>
    </row>
    <row r="28" customFormat="false" ht="15" hidden="false" customHeight="false" outlineLevel="0" collapsed="false">
      <c r="A28" s="11" t="str">
        <f aca="false">IF(A27="","",IF(A27&lt;$B$4,A27+1,""))</f>
        <v/>
      </c>
      <c r="B28" s="12" t="str">
        <f aca="false">IF(A28="","",F27)</f>
        <v/>
      </c>
      <c r="C28" s="12" t="str">
        <f aca="false">IF(A28="","",ROUND(B28*$B$6,2))</f>
        <v/>
      </c>
      <c r="D28" s="12" t="str">
        <f aca="false">IF(A28="","",IF(A28=$B$4,B28,E28-C28))</f>
        <v/>
      </c>
      <c r="E28" s="12" t="str">
        <f aca="false">IF(A28="","",IF(A28=$B$4,B28+C28,$B$7))</f>
        <v/>
      </c>
      <c r="F28" s="12" t="str">
        <f aca="false">IF(A28="","",B28-D28)</f>
        <v/>
      </c>
    </row>
    <row r="29" customFormat="false" ht="15" hidden="false" customHeight="false" outlineLevel="0" collapsed="false">
      <c r="A29" s="13" t="str">
        <f aca="false">IF(A28="","",IF(A28&lt;$B$4,A28+1,""))</f>
        <v/>
      </c>
      <c r="B29" s="14" t="str">
        <f aca="false">IF(A29="","",F28)</f>
        <v/>
      </c>
      <c r="C29" s="14" t="str">
        <f aca="false">IF(A29="","",ROUND(B29*$B$6,2))</f>
        <v/>
      </c>
      <c r="D29" s="14" t="str">
        <f aca="false">IF(A29="","",IF(A29=$B$4,B29,E29-C29))</f>
        <v/>
      </c>
      <c r="E29" s="14" t="str">
        <f aca="false">IF(A29="","",IF(A29=$B$4,B29+C29,$B$7))</f>
        <v/>
      </c>
      <c r="F29" s="14" t="str">
        <f aca="false">IF(A29="","",B29-D29)</f>
        <v/>
      </c>
    </row>
    <row r="30" customFormat="false" ht="15" hidden="false" customHeight="false" outlineLevel="0" collapsed="false">
      <c r="A30" s="11" t="str">
        <f aca="false">IF(A29="","",IF(A29&lt;$B$4,A29+1,""))</f>
        <v/>
      </c>
      <c r="B30" s="12" t="str">
        <f aca="false">IF(A30="","",F29)</f>
        <v/>
      </c>
      <c r="C30" s="12" t="str">
        <f aca="false">IF(A30="","",ROUND(B30*$B$6,2))</f>
        <v/>
      </c>
      <c r="D30" s="12" t="str">
        <f aca="false">IF(A30="","",IF(A30=$B$4,B30,E30-C30))</f>
        <v/>
      </c>
      <c r="E30" s="12" t="str">
        <f aca="false">IF(A30="","",IF(A30=$B$4,B30+C30,$B$7))</f>
        <v/>
      </c>
      <c r="F30" s="12" t="str">
        <f aca="false">IF(A30="","",B30-D30)</f>
        <v/>
      </c>
    </row>
    <row r="31" customFormat="false" ht="15" hidden="false" customHeight="false" outlineLevel="0" collapsed="false">
      <c r="A31" s="13" t="str">
        <f aca="false">IF(A30="","",IF(A30&lt;$B$4,A30+1,""))</f>
        <v/>
      </c>
      <c r="B31" s="14" t="str">
        <f aca="false">IF(A31="","",F30)</f>
        <v/>
      </c>
      <c r="C31" s="14" t="str">
        <f aca="false">IF(A31="","",ROUND(B31*$B$6,2))</f>
        <v/>
      </c>
      <c r="D31" s="14" t="str">
        <f aca="false">IF(A31="","",IF(A31=$B$4,B31,E31-C31))</f>
        <v/>
      </c>
      <c r="E31" s="14" t="str">
        <f aca="false">IF(A31="","",IF(A31=$B$4,B31+C31,$B$7))</f>
        <v/>
      </c>
      <c r="F31" s="14" t="str">
        <f aca="false">IF(A31="","",B31-D31)</f>
        <v/>
      </c>
    </row>
    <row r="32" customFormat="false" ht="15" hidden="false" customHeight="false" outlineLevel="0" collapsed="false">
      <c r="A32" s="11" t="str">
        <f aca="false">IF(A31="","",IF(A31&lt;$B$4,A31+1,""))</f>
        <v/>
      </c>
      <c r="B32" s="12" t="str">
        <f aca="false">IF(A32="","",F31)</f>
        <v/>
      </c>
      <c r="C32" s="12" t="str">
        <f aca="false">IF(A32="","",ROUND(B32*$B$6,2))</f>
        <v/>
      </c>
      <c r="D32" s="12" t="str">
        <f aca="false">IF(A32="","",IF(A32=$B$4,B32,E32-C32))</f>
        <v/>
      </c>
      <c r="E32" s="12" t="str">
        <f aca="false">IF(A32="","",IF(A32=$B$4,B32+C32,$B$7))</f>
        <v/>
      </c>
      <c r="F32" s="12" t="str">
        <f aca="false">IF(A32="","",B32-D32)</f>
        <v/>
      </c>
    </row>
    <row r="33" customFormat="false" ht="15" hidden="false" customHeight="false" outlineLevel="0" collapsed="false">
      <c r="A33" s="13" t="str">
        <f aca="false">IF(A32="","",IF(A32&lt;$B$4,A32+1,""))</f>
        <v/>
      </c>
      <c r="B33" s="14" t="str">
        <f aca="false">IF(A33="","",F32)</f>
        <v/>
      </c>
      <c r="C33" s="14" t="str">
        <f aca="false">IF(A33="","",ROUND(B33*$B$6,2))</f>
        <v/>
      </c>
      <c r="D33" s="14" t="str">
        <f aca="false">IF(A33="","",IF(A33=$B$4,B33,E33-C33))</f>
        <v/>
      </c>
      <c r="E33" s="14" t="str">
        <f aca="false">IF(A33="","",IF(A33=$B$4,B33+C33,$B$7))</f>
        <v/>
      </c>
      <c r="F33" s="14" t="str">
        <f aca="false">IF(A33="","",B33-D33)</f>
        <v/>
      </c>
    </row>
    <row r="34" customFormat="false" ht="15" hidden="false" customHeight="false" outlineLevel="0" collapsed="false">
      <c r="A34" s="11" t="str">
        <f aca="false">IF(A33="","",IF(A33&lt;$B$4,A33+1,""))</f>
        <v/>
      </c>
      <c r="B34" s="12" t="str">
        <f aca="false">IF(A34="","",F33)</f>
        <v/>
      </c>
      <c r="C34" s="12" t="str">
        <f aca="false">IF(A34="","",ROUND(B34*$B$6,2))</f>
        <v/>
      </c>
      <c r="D34" s="12" t="str">
        <f aca="false">IF(A34="","",IF(A34=$B$4,B34,E34-C34))</f>
        <v/>
      </c>
      <c r="E34" s="12" t="str">
        <f aca="false">IF(A34="","",IF(A34=$B$4,B34+C34,$B$7))</f>
        <v/>
      </c>
      <c r="F34" s="12" t="str">
        <f aca="false">IF(A34="","",B34-D34)</f>
        <v/>
      </c>
    </row>
    <row r="35" customFormat="false" ht="15" hidden="false" customHeight="false" outlineLevel="0" collapsed="false">
      <c r="A35" s="13" t="str">
        <f aca="false">IF(A34="","",IF(A34&lt;$B$4,A34+1,""))</f>
        <v/>
      </c>
      <c r="B35" s="14" t="str">
        <f aca="false">IF(A35="","",F34)</f>
        <v/>
      </c>
      <c r="C35" s="14" t="str">
        <f aca="false">IF(A35="","",ROUND(B35*$B$6,2))</f>
        <v/>
      </c>
      <c r="D35" s="14" t="str">
        <f aca="false">IF(A35="","",IF(A35=$B$4,B35,E35-C35))</f>
        <v/>
      </c>
      <c r="E35" s="14" t="str">
        <f aca="false">IF(A35="","",IF(A35=$B$4,B35+C35,$B$7))</f>
        <v/>
      </c>
      <c r="F35" s="14" t="str">
        <f aca="false">IF(A35="","",B35-D35)</f>
        <v/>
      </c>
    </row>
    <row r="36" customFormat="false" ht="15" hidden="false" customHeight="false" outlineLevel="0" collapsed="false">
      <c r="A36" s="11" t="str">
        <f aca="false">IF(A35="","",IF(A35&lt;$B$4,A35+1,""))</f>
        <v/>
      </c>
      <c r="B36" s="12" t="str">
        <f aca="false">IF(A36="","",F35)</f>
        <v/>
      </c>
      <c r="C36" s="12" t="str">
        <f aca="false">IF(A36="","",ROUND(B36*$B$6,2))</f>
        <v/>
      </c>
      <c r="D36" s="12" t="str">
        <f aca="false">IF(A36="","",IF(A36=$B$4,B36,E36-C36))</f>
        <v/>
      </c>
      <c r="E36" s="12" t="str">
        <f aca="false">IF(A36="","",IF(A36=$B$4,B36+C36,$B$7))</f>
        <v/>
      </c>
      <c r="F36" s="12" t="str">
        <f aca="false">IF(A36="","",B36-D36)</f>
        <v/>
      </c>
    </row>
    <row r="37" customFormat="false" ht="15" hidden="false" customHeight="false" outlineLevel="0" collapsed="false">
      <c r="A37" s="13" t="str">
        <f aca="false">IF(A36="","",IF(A36&lt;$B$4,A36+1,""))</f>
        <v/>
      </c>
      <c r="B37" s="14" t="str">
        <f aca="false">IF(A37="","",F36)</f>
        <v/>
      </c>
      <c r="C37" s="14" t="str">
        <f aca="false">IF(A37="","",ROUND(B37*$B$6,2))</f>
        <v/>
      </c>
      <c r="D37" s="14" t="str">
        <f aca="false">IF(A37="","",IF(A37=$B$4,B37,E37-C37))</f>
        <v/>
      </c>
      <c r="E37" s="14" t="str">
        <f aca="false">IF(A37="","",IF(A37=$B$4,B37+C37,$B$7))</f>
        <v/>
      </c>
      <c r="F37" s="14" t="str">
        <f aca="false">IF(A37="","",B37-D37)</f>
        <v/>
      </c>
    </row>
    <row r="38" customFormat="false" ht="15" hidden="false" customHeight="false" outlineLevel="0" collapsed="false">
      <c r="A38" s="11" t="str">
        <f aca="false">IF(A37="","",IF(A37&lt;$B$4,A37+1,""))</f>
        <v/>
      </c>
      <c r="B38" s="12" t="str">
        <f aca="false">IF(A38="","",F37)</f>
        <v/>
      </c>
      <c r="C38" s="12" t="str">
        <f aca="false">IF(A38="","",ROUND(B38*$B$6,2))</f>
        <v/>
      </c>
      <c r="D38" s="12" t="str">
        <f aca="false">IF(A38="","",IF(A38=$B$4,B38,E38-C38))</f>
        <v/>
      </c>
      <c r="E38" s="12" t="str">
        <f aca="false">IF(A38="","",IF(A38=$B$4,B38+C38,$B$7))</f>
        <v/>
      </c>
      <c r="F38" s="12" t="str">
        <f aca="false">IF(A38="","",B38-D38)</f>
        <v/>
      </c>
    </row>
    <row r="39" customFormat="false" ht="15" hidden="false" customHeight="false" outlineLevel="0" collapsed="false">
      <c r="A39" s="13" t="str">
        <f aca="false">IF(A38="","",IF(A38&lt;$B$4,A38+1,""))</f>
        <v/>
      </c>
      <c r="B39" s="14" t="str">
        <f aca="false">IF(A39="","",F38)</f>
        <v/>
      </c>
      <c r="C39" s="14" t="str">
        <f aca="false">IF(A39="","",ROUND(B39*$B$6,2))</f>
        <v/>
      </c>
      <c r="D39" s="14" t="str">
        <f aca="false">IF(A39="","",IF(A39=$B$4,B39,E39-C39))</f>
        <v/>
      </c>
      <c r="E39" s="14" t="str">
        <f aca="false">IF(A39="","",IF(A39=$B$4,B39+C39,$B$7))</f>
        <v/>
      </c>
      <c r="F39" s="14" t="str">
        <f aca="false">IF(A39="","",B39-D39)</f>
        <v/>
      </c>
    </row>
    <row r="40" customFormat="false" ht="15" hidden="false" customHeight="false" outlineLevel="0" collapsed="false">
      <c r="A40" s="11" t="str">
        <f aca="false">IF(A39="","",IF(A39&lt;$B$4,A39+1,""))</f>
        <v/>
      </c>
      <c r="B40" s="12" t="str">
        <f aca="false">IF(A40="","",F39)</f>
        <v/>
      </c>
      <c r="C40" s="12" t="str">
        <f aca="false">IF(A40="","",ROUND(B40*$B$6,2))</f>
        <v/>
      </c>
      <c r="D40" s="12" t="str">
        <f aca="false">IF(A40="","",IF(A40=$B$4,B40,E40-C40))</f>
        <v/>
      </c>
      <c r="E40" s="12" t="str">
        <f aca="false">IF(A40="","",IF(A40=$B$4,B40+C40,$B$7))</f>
        <v/>
      </c>
      <c r="F40" s="12" t="str">
        <f aca="false">IF(A40="","",B40-D40)</f>
        <v/>
      </c>
    </row>
    <row r="41" customFormat="false" ht="15" hidden="false" customHeight="false" outlineLevel="0" collapsed="false">
      <c r="A41" s="13" t="str">
        <f aca="false">IF(A40="","",IF(A40&lt;$B$4,A40+1,""))</f>
        <v/>
      </c>
      <c r="B41" s="14" t="str">
        <f aca="false">IF(A41="","",F40)</f>
        <v/>
      </c>
      <c r="C41" s="14" t="str">
        <f aca="false">IF(A41="","",ROUND(B41*$B$6,2))</f>
        <v/>
      </c>
      <c r="D41" s="14" t="str">
        <f aca="false">IF(A41="","",IF(A41=$B$4,B41,E41-C41))</f>
        <v/>
      </c>
      <c r="E41" s="14" t="str">
        <f aca="false">IF(A41="","",IF(A41=$B$4,B41+C41,$B$7))</f>
        <v/>
      </c>
      <c r="F41" s="14" t="str">
        <f aca="false">IF(A41="","",B41-D41)</f>
        <v/>
      </c>
    </row>
    <row r="42" customFormat="false" ht="15" hidden="false" customHeight="false" outlineLevel="0" collapsed="false">
      <c r="A42" s="11" t="str">
        <f aca="false">IF(A41="","",IF(A41&lt;$B$4,A41+1,""))</f>
        <v/>
      </c>
      <c r="B42" s="12" t="str">
        <f aca="false">IF(A42="","",F41)</f>
        <v/>
      </c>
      <c r="C42" s="12" t="str">
        <f aca="false">IF(A42="","",ROUND(B42*$B$6,2))</f>
        <v/>
      </c>
      <c r="D42" s="12" t="str">
        <f aca="false">IF(A42="","",IF(A42=$B$4,B42,E42-C42))</f>
        <v/>
      </c>
      <c r="E42" s="12" t="str">
        <f aca="false">IF(A42="","",IF(A42=$B$4,B42+C42,$B$7))</f>
        <v/>
      </c>
      <c r="F42" s="12" t="str">
        <f aca="false">IF(A42="","",B42-D42)</f>
        <v/>
      </c>
    </row>
    <row r="43" customFormat="false" ht="15" hidden="false" customHeight="false" outlineLevel="0" collapsed="false">
      <c r="A43" s="13" t="str">
        <f aca="false">IF(A42="","",IF(A42&lt;$B$4,A42+1,""))</f>
        <v/>
      </c>
      <c r="B43" s="14" t="str">
        <f aca="false">IF(A43="","",F42)</f>
        <v/>
      </c>
      <c r="C43" s="14" t="str">
        <f aca="false">IF(A43="","",ROUND(B43*$B$6,2))</f>
        <v/>
      </c>
      <c r="D43" s="14" t="str">
        <f aca="false">IF(A43="","",IF(A43=$B$4,B43,E43-C43))</f>
        <v/>
      </c>
      <c r="E43" s="14" t="str">
        <f aca="false">IF(A43="","",IF(A43=$B$4,B43+C43,$B$7))</f>
        <v/>
      </c>
      <c r="F43" s="14" t="str">
        <f aca="false">IF(A43="","",B43-D43)</f>
        <v/>
      </c>
    </row>
    <row r="44" customFormat="false" ht="15" hidden="false" customHeight="false" outlineLevel="0" collapsed="false">
      <c r="A44" s="11" t="str">
        <f aca="false">IF(A43="","",IF(A43&lt;$B$4,A43+1,""))</f>
        <v/>
      </c>
      <c r="B44" s="12" t="str">
        <f aca="false">IF(A44="","",F43)</f>
        <v/>
      </c>
      <c r="C44" s="12" t="str">
        <f aca="false">IF(A44="","",ROUND(B44*$B$6,2))</f>
        <v/>
      </c>
      <c r="D44" s="12" t="str">
        <f aca="false">IF(A44="","",IF(A44=$B$4,B44,E44-C44))</f>
        <v/>
      </c>
      <c r="E44" s="12" t="str">
        <f aca="false">IF(A44="","",IF(A44=$B$4,B44+C44,$B$7))</f>
        <v/>
      </c>
      <c r="F44" s="12" t="str">
        <f aca="false">IF(A44="","",B44-D44)</f>
        <v/>
      </c>
    </row>
    <row r="45" customFormat="false" ht="15" hidden="false" customHeight="false" outlineLevel="0" collapsed="false">
      <c r="A45" s="13" t="str">
        <f aca="false">IF(A44="","",IF(A44&lt;$B$4,A44+1,""))</f>
        <v/>
      </c>
      <c r="B45" s="14" t="str">
        <f aca="false">IF(A45="","",F44)</f>
        <v/>
      </c>
      <c r="C45" s="14" t="str">
        <f aca="false">IF(A45="","",ROUND(B45*$B$6,2))</f>
        <v/>
      </c>
      <c r="D45" s="14" t="str">
        <f aca="false">IF(A45="","",IF(A45=$B$4,B45,E45-C45))</f>
        <v/>
      </c>
      <c r="E45" s="14" t="str">
        <f aca="false">IF(A45="","",IF(A45=$B$4,B45+C45,$B$7))</f>
        <v/>
      </c>
      <c r="F45" s="14" t="str">
        <f aca="false">IF(A45="","",B45-D45)</f>
        <v/>
      </c>
    </row>
    <row r="46" customFormat="false" ht="15" hidden="false" customHeight="false" outlineLevel="0" collapsed="false">
      <c r="A46" s="8" t="s">
        <v>13</v>
      </c>
      <c r="C46" s="15" t="n">
        <f aca="false">SUM(C10:C45)</f>
        <v>2003.21</v>
      </c>
      <c r="D46" s="15" t="n">
        <f aca="false">SUM(D10:D45)</f>
        <v>20000</v>
      </c>
      <c r="E46" s="15" t="n">
        <f aca="false">SUM(E10:E45)</f>
        <v>22003.21</v>
      </c>
    </row>
    <row r="48" customFormat="false" ht="15" hidden="false" customHeight="false" outlineLevel="0" collapsed="false">
      <c r="A48" s="8" t="s">
        <v>14</v>
      </c>
    </row>
    <row r="49" customFormat="false" ht="15" hidden="false" customHeight="false" outlineLevel="0" collapsed="false">
      <c r="A49" s="2" t="s">
        <v>15</v>
      </c>
      <c r="B49" s="16" t="n">
        <v>2003.21</v>
      </c>
    </row>
    <row r="50" customFormat="false" ht="15" hidden="false" customHeight="false" outlineLevel="0" collapsed="false">
      <c r="A50" s="2" t="s">
        <v>16</v>
      </c>
      <c r="B50" s="17" t="n">
        <f aca="false">C46</f>
        <v>2003.21</v>
      </c>
    </row>
    <row r="51" customFormat="false" ht="15" hidden="false" customHeight="false" outlineLevel="0" collapsed="false">
      <c r="A51" s="8" t="s">
        <v>17</v>
      </c>
      <c r="B51" s="9" t="n">
        <f aca="false">ROUND(B50-B49,2)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8" t="s">
        <v>19</v>
      </c>
    </row>
    <row r="4" customFormat="false" ht="15" hidden="false" customHeight="false" outlineLevel="0" collapsed="false">
      <c r="A4" s="2" t="s">
        <v>20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8" t="s">
        <v>21</v>
      </c>
    </row>
    <row r="7" customFormat="false" ht="15" hidden="false" customHeight="false" outlineLevel="0" collapsed="false">
      <c r="A7" s="2" t="s">
        <v>22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8" t="s">
        <v>23</v>
      </c>
    </row>
    <row r="10" customFormat="false" ht="15" hidden="false" customHeight="false" outlineLevel="0" collapsed="false">
      <c r="A10" s="2" t="s">
        <v>24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8" t="s">
        <v>25</v>
      </c>
    </row>
    <row r="13" customFormat="false" ht="15" hidden="false" customHeight="false" outlineLevel="0" collapsed="false">
      <c r="A13" s="2" t="s">
        <v>26</v>
      </c>
    </row>
    <row r="14" customFormat="false" ht="15" hidden="false" customHeight="false" outlineLevel="0" collapsed="false">
      <c r="A14" s="2" t="s">
        <v>27</v>
      </c>
    </row>
    <row r="15" customFormat="false" ht="15" hidden="false" customHeight="false" outlineLevel="0" collapsed="false">
      <c r="A15" s="2" t="s">
        <v>28</v>
      </c>
    </row>
    <row r="16" customFormat="false" ht="15" hidden="false" customHeight="false" outlineLevel="0" collapsed="false">
      <c r="A16" s="2" t="s">
        <v>29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8" t="s">
        <v>30</v>
      </c>
    </row>
    <row r="19" customFormat="false" ht="15" hidden="false" customHeight="false" outlineLevel="0" collapsed="false">
      <c r="A19" s="2" t="s">
        <v>31</v>
      </c>
    </row>
    <row r="20" customFormat="false" ht="15" hidden="false" customHeight="false" outlineLevel="0" collapsed="false">
      <c r="A20" s="2" t="s">
        <v>32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8" t="s">
        <v>33</v>
      </c>
    </row>
    <row r="23" customFormat="false" ht="15" hidden="false" customHeight="false" outlineLevel="0" collapsed="false">
      <c r="A23" s="2" t="s">
        <v>34</v>
      </c>
    </row>
    <row r="24" customFormat="false" ht="15" hidden="false" customHeight="false" outlineLevel="0" collapsed="false">
      <c r="A24" s="2" t="s">
        <v>35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8" t="s">
        <v>36</v>
      </c>
    </row>
    <row r="27" customFormat="false" ht="15" hidden="false" customHeight="false" outlineLevel="0" collapsed="false">
      <c r="A27" s="2" t="s">
        <v>37</v>
      </c>
    </row>
    <row r="28" customFormat="false" ht="15" hidden="false" customHeight="false" outlineLevel="0" collapsed="false">
      <c r="A28" s="2" t="s">
        <v>38</v>
      </c>
    </row>
    <row r="29" customFormat="false" ht="15" hidden="false" customHeight="false" outlineLevel="0" collapsed="false">
      <c r="A29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2026-10-23T06:41:09Z</dcterms:created>
  <dc:creator>openpyxl</dc:creator>
  <dc:description/>
  <dc:language>en-US</dc:language>
  <cp:lastModifiedBy/>
  <dcterms:modified xsi:type="dcterms:W3CDTF">2026-10-23T06:41:09Z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